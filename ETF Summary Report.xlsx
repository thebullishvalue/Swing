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manthan/Downloads/"/>
    </mc:Choice>
  </mc:AlternateContent>
  <xr:revisionPtr revIDLastSave="0" documentId="13_ncr:1_{8EAC9361-2EAE-914A-B801-D6B2D436BC55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Manthan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E31" i="1"/>
  <c r="E30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2" i="1"/>
  <c r="D2" i="1"/>
</calcChain>
</file>

<file path=xl/sharedStrings.xml><?xml version="1.0" encoding="utf-8"?>
<sst xmlns="http://schemas.openxmlformats.org/spreadsheetml/2006/main" count="65" uniqueCount="63">
  <si>
    <t>SR. NO.</t>
  </si>
  <si>
    <t>ASSET NAME</t>
  </si>
  <si>
    <t>SYMBOL</t>
  </si>
  <si>
    <t>QUANTITY</t>
  </si>
  <si>
    <t>AVERAGE PRICE</t>
  </si>
  <si>
    <t>ICICI Prudential Nifty Auto ETF</t>
  </si>
  <si>
    <t>AUTOIETF</t>
  </si>
  <si>
    <t>ICICI Prudential Nifty Commodities ETF</t>
  </si>
  <si>
    <t>COMMOIETF</t>
  </si>
  <si>
    <t>ICICI Prudential Nifty Consumption ETF</t>
  </si>
  <si>
    <t>CONSUMIETF</t>
  </si>
  <si>
    <t>CPSE ETF</t>
  </si>
  <si>
    <t>CPSEETF</t>
  </si>
  <si>
    <t>Edelweiss BSE Capital Markets &amp; Insurance ETF</t>
  </si>
  <si>
    <t>ECAPINSURE</t>
  </si>
  <si>
    <t>Mirae Asset Nifty EV and New Age Automotive ETF</t>
  </si>
  <si>
    <t>EVINDIA</t>
  </si>
  <si>
    <t>ICICI Prudential Nifty Financial Serv. Ex-Bank ETF</t>
  </si>
  <si>
    <t>FINIETF</t>
  </si>
  <si>
    <t>ICICI Prudential Nifty FMCG ETF</t>
  </si>
  <si>
    <t>FMCGIETF</t>
  </si>
  <si>
    <t>ICICI Prudential Nifty Healthcare ETF</t>
  </si>
  <si>
    <t>HEALTHIETF</t>
  </si>
  <si>
    <t>ICICI Prudential Nifty Infrastructure ETF</t>
  </si>
  <si>
    <t>INFRAIETF</t>
  </si>
  <si>
    <t>ICICI Prudential Nifty IT ETF</t>
  </si>
  <si>
    <t>ITIETF</t>
  </si>
  <si>
    <t>Mirae Asset Nifty India Manufacturing ETF</t>
  </si>
  <si>
    <t>MAKEINDIA</t>
  </si>
  <si>
    <t>Mirae Asset S&amp;P 500 Top 50 ETF</t>
  </si>
  <si>
    <t>MASPTOP50</t>
  </si>
  <si>
    <t>ICICI Prudential Nifty Metal ETF</t>
  </si>
  <si>
    <t>METALIETF</t>
  </si>
  <si>
    <t>ICICI Prudential Nifty Midcap 150 ETF</t>
  </si>
  <si>
    <t>MIDCAPIETF</t>
  </si>
  <si>
    <t>Kotak Nifty MNC ETF</t>
  </si>
  <si>
    <t>MNC</t>
  </si>
  <si>
    <t>Motilal Oswal Nifty India Defence ETF</t>
  </si>
  <si>
    <t>MODEFENCE</t>
  </si>
  <si>
    <t>Motilal Oswal MOSt Shares NASDAQ-100 ETF</t>
  </si>
  <si>
    <t>MON100</t>
  </si>
  <si>
    <t>Motilal Oswal Nifty 500 ETF</t>
  </si>
  <si>
    <t>MONIFTY500</t>
  </si>
  <si>
    <t>Motilal Oswal Nifty Realty ETF</t>
  </si>
  <si>
    <t>MOREALTY</t>
  </si>
  <si>
    <t>Motilal Oswal Nifty Smallcap 250</t>
  </si>
  <si>
    <t>MOSMALL250</t>
  </si>
  <si>
    <t>ICICI Prudential Nifty 50 ETF</t>
  </si>
  <si>
    <t>NIFTYIETF</t>
  </si>
  <si>
    <t>ICICI Prudential Nifty Oil &amp; Gas ETF</t>
  </si>
  <si>
    <t>OILIETF</t>
  </si>
  <si>
    <t>ICICI Prudential Nifty PSU Bank ETF</t>
  </si>
  <si>
    <t>PSUBNKIETF</t>
  </si>
  <si>
    <t>ICICI Prudential Nifty Private Bank ETF</t>
  </si>
  <si>
    <t>PVTBANIETF</t>
  </si>
  <si>
    <t>Tata Nifty India Digital ETF</t>
  </si>
  <si>
    <t>TNIDETF</t>
  </si>
  <si>
    <t>GROWWPOWER</t>
  </si>
  <si>
    <t>CHEMICAL</t>
  </si>
  <si>
    <t>Groww BSE Power ETF</t>
  </si>
  <si>
    <t>Kotak Nifty Chemicals ETF</t>
  </si>
  <si>
    <t>BANKIETF</t>
  </si>
  <si>
    <t>SENSEXIETF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</si>
</sst>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ill="0" applyBorder="0" applyProtection="0"/>
  </cellStyleXfs>
  <cellXfs count="6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0" fontId="0" fillId="0" borderId="1" xfId="0" applyNumberFormat="1" applyBorder="1"/>
    <xf numFmtId="49" fontId="2" fillId="0" borderId="1" xfId="0" applyNumberFormat="1" applyFont="1" applyBorder="1"/>
    <xf numFmtId="0" fontId="2" fillId="0" borderId="1" xfId="0" applyNumberFormat="1" applyFont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nthan/Downloads/positions.csv" TargetMode="External"/><Relationship Id="rId1" Type="http://schemas.openxmlformats.org/officeDocument/2006/relationships/externalLinkPath" Target="position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"/>
    </sheetNames>
    <sheetDataSet>
      <sheetData sheetId="0">
        <row r="2">
          <cell r="B2" t="str">
            <v>AUTOIETF</v>
          </cell>
          <cell r="C2">
            <v>4290</v>
          </cell>
          <cell r="D2">
            <v>28.26</v>
          </cell>
        </row>
        <row r="3">
          <cell r="B3" t="str">
            <v>BANKIETF</v>
          </cell>
          <cell r="C3">
            <v>2404</v>
          </cell>
          <cell r="D3">
            <v>61.29</v>
          </cell>
        </row>
        <row r="4">
          <cell r="B4" t="str">
            <v>CHEMICAL</v>
          </cell>
          <cell r="C4">
            <v>1552</v>
          </cell>
          <cell r="D4">
            <v>27.6</v>
          </cell>
        </row>
        <row r="5">
          <cell r="B5" t="str">
            <v>COMMOIETF</v>
          </cell>
          <cell r="C5">
            <v>1622</v>
          </cell>
          <cell r="D5">
            <v>99.99</v>
          </cell>
        </row>
        <row r="6">
          <cell r="B6" t="str">
            <v>CONSUMIETF</v>
          </cell>
          <cell r="C6">
            <v>200</v>
          </cell>
          <cell r="D6">
            <v>117.18</v>
          </cell>
        </row>
        <row r="7">
          <cell r="B7" t="str">
            <v>CPSEETF</v>
          </cell>
          <cell r="C7">
            <v>2006</v>
          </cell>
          <cell r="D7">
            <v>102.29</v>
          </cell>
        </row>
        <row r="8">
          <cell r="B8" t="str">
            <v>ECAPINSURE</v>
          </cell>
          <cell r="C8">
            <v>3620</v>
          </cell>
          <cell r="D8">
            <v>23.87</v>
          </cell>
        </row>
        <row r="9">
          <cell r="B9" t="str">
            <v>EVINDIA</v>
          </cell>
          <cell r="C9">
            <v>2160</v>
          </cell>
          <cell r="D9">
            <v>30.23</v>
          </cell>
        </row>
        <row r="10">
          <cell r="B10" t="str">
            <v>FINIETF</v>
          </cell>
          <cell r="C10">
            <v>2695</v>
          </cell>
          <cell r="D10">
            <v>31.6</v>
          </cell>
        </row>
        <row r="11">
          <cell r="B11" t="str">
            <v>FMCGIETF</v>
          </cell>
          <cell r="C11">
            <v>435</v>
          </cell>
          <cell r="D11">
            <v>54.2</v>
          </cell>
        </row>
        <row r="12">
          <cell r="B12" t="str">
            <v>GROWWPOWER</v>
          </cell>
          <cell r="C12">
            <v>10530</v>
          </cell>
          <cell r="D12">
            <v>10.38</v>
          </cell>
        </row>
        <row r="13">
          <cell r="B13" t="str">
            <v>HEALTHIETF</v>
          </cell>
          <cell r="C13">
            <v>1392</v>
          </cell>
          <cell r="D13">
            <v>151.41</v>
          </cell>
        </row>
        <row r="14">
          <cell r="B14" t="str">
            <v>INFRAIETF</v>
          </cell>
          <cell r="C14">
            <v>690</v>
          </cell>
          <cell r="D14">
            <v>95.75</v>
          </cell>
        </row>
        <row r="15">
          <cell r="B15" t="str">
            <v>ITIETF</v>
          </cell>
          <cell r="C15">
            <v>705</v>
          </cell>
          <cell r="D15">
            <v>33.369999999999997</v>
          </cell>
        </row>
        <row r="16">
          <cell r="B16" t="str">
            <v>MAKEINDIA</v>
          </cell>
          <cell r="C16">
            <v>1135</v>
          </cell>
          <cell r="D16">
            <v>157.82</v>
          </cell>
        </row>
        <row r="17">
          <cell r="B17" t="str">
            <v>MASPTOP50</v>
          </cell>
          <cell r="C17">
            <v>700</v>
          </cell>
          <cell r="D17">
            <v>70.16</v>
          </cell>
        </row>
        <row r="18">
          <cell r="B18" t="str">
            <v>METALIETF</v>
          </cell>
          <cell r="C18">
            <v>9635</v>
          </cell>
          <cell r="D18">
            <v>12.24</v>
          </cell>
        </row>
        <row r="19">
          <cell r="B19" t="str">
            <v>MIDCAPIETF</v>
          </cell>
          <cell r="C19">
            <v>2605</v>
          </cell>
          <cell r="D19">
            <v>22.23</v>
          </cell>
        </row>
        <row r="20">
          <cell r="B20" t="str">
            <v>MNC</v>
          </cell>
          <cell r="C20">
            <v>7075</v>
          </cell>
          <cell r="D20">
            <v>32.11</v>
          </cell>
        </row>
        <row r="21">
          <cell r="B21" t="str">
            <v>MODEFENCE</v>
          </cell>
          <cell r="C21">
            <v>2406</v>
          </cell>
          <cell r="D21">
            <v>90.08</v>
          </cell>
        </row>
        <row r="22">
          <cell r="B22" t="str">
            <v>MON100</v>
          </cell>
          <cell r="C22">
            <v>105</v>
          </cell>
          <cell r="D22">
            <v>222.69</v>
          </cell>
        </row>
        <row r="23">
          <cell r="B23" t="str">
            <v>MONIFTY500</v>
          </cell>
          <cell r="C23">
            <v>1221</v>
          </cell>
          <cell r="D23">
            <v>23.35</v>
          </cell>
        </row>
        <row r="24">
          <cell r="B24" t="str">
            <v>MOREALTY</v>
          </cell>
          <cell r="C24">
            <v>310</v>
          </cell>
          <cell r="D24">
            <v>76.59</v>
          </cell>
        </row>
        <row r="25">
          <cell r="B25" t="str">
            <v>MOSMALL250</v>
          </cell>
          <cell r="C25">
            <v>1505</v>
          </cell>
          <cell r="D25">
            <v>15.66</v>
          </cell>
        </row>
        <row r="26">
          <cell r="B26" t="str">
            <v>NIFTYIETF</v>
          </cell>
          <cell r="C26">
            <v>80</v>
          </cell>
          <cell r="D26">
            <v>279.52999999999997</v>
          </cell>
        </row>
        <row r="27">
          <cell r="B27" t="str">
            <v>OILIETF</v>
          </cell>
          <cell r="C27">
            <v>4185</v>
          </cell>
          <cell r="D27">
            <v>12.21</v>
          </cell>
        </row>
        <row r="28">
          <cell r="B28" t="str">
            <v>PSUBNKIETF</v>
          </cell>
          <cell r="C28">
            <v>1070</v>
          </cell>
          <cell r="D28">
            <v>97.4</v>
          </cell>
        </row>
        <row r="29">
          <cell r="B29" t="str">
            <v>PVTBANIETF</v>
          </cell>
          <cell r="C29">
            <v>3735</v>
          </cell>
          <cell r="D29">
            <v>28.51</v>
          </cell>
        </row>
        <row r="30">
          <cell r="B30" t="str">
            <v>SENSEXIETF</v>
          </cell>
          <cell r="C30">
            <v>25</v>
          </cell>
          <cell r="D30">
            <v>915.24</v>
          </cell>
        </row>
        <row r="31">
          <cell r="B31" t="str">
            <v>TNIDETF</v>
          </cell>
          <cell r="C31">
            <v>290</v>
          </cell>
          <cell r="D31">
            <v>80.83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showGridLines="0" tabSelected="1" workbookViewId="0">
      <selection activeCell="G22" sqref="G22"/>
    </sheetView>
  </sheetViews>
  <sheetFormatPr baseColWidth="10" defaultColWidth="8.83203125" defaultRowHeight="15" customHeight="1" x14ac:dyDescent="0.2"/>
  <cols>
    <col min="1" max="1" width="8.83203125" style="1" customWidth="1"/>
    <col min="2" max="2" width="46.83203125" style="1" customWidth="1"/>
    <col min="3" max="5" width="15.664062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15" customHeight="1" x14ac:dyDescent="0.2">
      <c r="A2" s="3">
        <v>1</v>
      </c>
      <c r="B2" s="4" t="s">
        <v>5</v>
      </c>
      <c r="C2" s="4" t="s">
        <v>6</v>
      </c>
      <c r="D2" s="5">
        <f>LOOKUP(C2,[1]positions!$B$2:$B$31,[1]positions!$C$2:$C$31)</f>
        <v>4290</v>
      </c>
      <c r="E2" s="5">
        <f>LOOKUP(C2,[1]positions!$B$2:$B$31,[1]positions!$D$2:$D$31)</f>
        <v>28.26</v>
      </c>
    </row>
    <row r="3" spans="1:5" ht="15" customHeight="1" x14ac:dyDescent="0.2">
      <c r="A3" s="3">
        <v>2</v>
      </c>
      <c r="B3" s="4" t="s">
        <v>7</v>
      </c>
      <c r="C3" s="4" t="s">
        <v>8</v>
      </c>
      <c r="D3" s="5">
        <f>LOOKUP(C3,[1]positions!$B$2:$B$31,[1]positions!$C$2:$C$31)</f>
        <v>1622</v>
      </c>
      <c r="E3" s="5">
        <f>LOOKUP(C3,[1]positions!$B$2:$B$31,[1]positions!$D$2:$D$31)</f>
        <v>99.99</v>
      </c>
    </row>
    <row r="4" spans="1:5" ht="15" customHeight="1" x14ac:dyDescent="0.2">
      <c r="A4" s="3">
        <v>3</v>
      </c>
      <c r="B4" s="4" t="s">
        <v>9</v>
      </c>
      <c r="C4" s="4" t="s">
        <v>10</v>
      </c>
      <c r="D4" s="5">
        <f>LOOKUP(C4,[1]positions!$B$2:$B$31,[1]positions!$C$2:$C$31)</f>
        <v>200</v>
      </c>
      <c r="E4" s="5">
        <f>LOOKUP(C4,[1]positions!$B$2:$B$31,[1]positions!$D$2:$D$31)</f>
        <v>117.18</v>
      </c>
    </row>
    <row r="5" spans="1:5" ht="15" customHeight="1" x14ac:dyDescent="0.2">
      <c r="A5" s="3">
        <v>4</v>
      </c>
      <c r="B5" s="4" t="s">
        <v>11</v>
      </c>
      <c r="C5" s="4" t="s">
        <v>12</v>
      </c>
      <c r="D5" s="5">
        <f>LOOKUP(C5,[1]positions!$B$2:$B$31,[1]positions!$C$2:$C$31)</f>
        <v>2006</v>
      </c>
      <c r="E5" s="5">
        <f>LOOKUP(C5,[1]positions!$B$2:$B$31,[1]positions!$D$2:$D$31)</f>
        <v>102.29</v>
      </c>
    </row>
    <row r="6" spans="1:5" ht="15" customHeight="1" x14ac:dyDescent="0.2">
      <c r="A6" s="3">
        <v>5</v>
      </c>
      <c r="B6" s="4" t="s">
        <v>13</v>
      </c>
      <c r="C6" s="4" t="s">
        <v>14</v>
      </c>
      <c r="D6" s="5">
        <f>LOOKUP(C6,[1]positions!$B$2:$B$31,[1]positions!$C$2:$C$31)</f>
        <v>3620</v>
      </c>
      <c r="E6" s="5">
        <f>LOOKUP(C6,[1]positions!$B$2:$B$31,[1]positions!$D$2:$D$31)</f>
        <v>23.87</v>
      </c>
    </row>
    <row r="7" spans="1:5" ht="15" customHeight="1" x14ac:dyDescent="0.2">
      <c r="A7" s="3">
        <v>6</v>
      </c>
      <c r="B7" s="4" t="s">
        <v>15</v>
      </c>
      <c r="C7" s="4" t="s">
        <v>16</v>
      </c>
      <c r="D7" s="5">
        <f>LOOKUP(C7,[1]positions!$B$2:$B$31,[1]positions!$C$2:$C$31)</f>
        <v>2160</v>
      </c>
      <c r="E7" s="5">
        <f>LOOKUP(C7,[1]positions!$B$2:$B$31,[1]positions!$D$2:$D$31)</f>
        <v>30.23</v>
      </c>
    </row>
    <row r="8" spans="1:5" ht="15" customHeight="1" x14ac:dyDescent="0.2">
      <c r="A8" s="3">
        <v>7</v>
      </c>
      <c r="B8" s="4" t="s">
        <v>17</v>
      </c>
      <c r="C8" s="4" t="s">
        <v>18</v>
      </c>
      <c r="D8" s="5">
        <f>LOOKUP(C8,[1]positions!$B$2:$B$31,[1]positions!$C$2:$C$31)</f>
        <v>2695</v>
      </c>
      <c r="E8" s="5">
        <f>LOOKUP(C8,[1]positions!$B$2:$B$31,[1]positions!$D$2:$D$31)</f>
        <v>31.6</v>
      </c>
    </row>
    <row r="9" spans="1:5" ht="15" customHeight="1" x14ac:dyDescent="0.2">
      <c r="A9" s="3">
        <v>8</v>
      </c>
      <c r="B9" s="4" t="s">
        <v>19</v>
      </c>
      <c r="C9" s="4" t="s">
        <v>20</v>
      </c>
      <c r="D9" s="5">
        <f>LOOKUP(C9,[1]positions!$B$2:$B$31,[1]positions!$C$2:$C$31)</f>
        <v>435</v>
      </c>
      <c r="E9" s="5">
        <f>LOOKUP(C9,[1]positions!$B$2:$B$31,[1]positions!$D$2:$D$31)</f>
        <v>54.2</v>
      </c>
    </row>
    <row r="10" spans="1:5" ht="15" customHeight="1" x14ac:dyDescent="0.2">
      <c r="A10" s="3">
        <v>9</v>
      </c>
      <c r="B10" s="4" t="s">
        <v>21</v>
      </c>
      <c r="C10" s="4" t="s">
        <v>22</v>
      </c>
      <c r="D10" s="5">
        <f>LOOKUP(C10,[1]positions!$B$2:$B$31,[1]positions!$C$2:$C$31)</f>
        <v>1392</v>
      </c>
      <c r="E10" s="5">
        <f>LOOKUP(C10,[1]positions!$B$2:$B$31,[1]positions!$D$2:$D$31)</f>
        <v>151.41</v>
      </c>
    </row>
    <row r="11" spans="1:5" ht="15" customHeight="1" x14ac:dyDescent="0.2">
      <c r="A11" s="3">
        <v>10</v>
      </c>
      <c r="B11" s="4" t="s">
        <v>23</v>
      </c>
      <c r="C11" s="4" t="s">
        <v>24</v>
      </c>
      <c r="D11" s="5">
        <f>LOOKUP(C11,[1]positions!$B$2:$B$31,[1]positions!$C$2:$C$31)</f>
        <v>690</v>
      </c>
      <c r="E11" s="5">
        <f>LOOKUP(C11,[1]positions!$B$2:$B$31,[1]positions!$D$2:$D$31)</f>
        <v>95.75</v>
      </c>
    </row>
    <row r="12" spans="1:5" ht="15" customHeight="1" x14ac:dyDescent="0.2">
      <c r="A12" s="3">
        <v>11</v>
      </c>
      <c r="B12" s="4" t="s">
        <v>25</v>
      </c>
      <c r="C12" s="4" t="s">
        <v>26</v>
      </c>
      <c r="D12" s="5">
        <f>LOOKUP(C12,[1]positions!$B$2:$B$31,[1]positions!$C$2:$C$31)</f>
        <v>705</v>
      </c>
      <c r="E12" s="5">
        <f>LOOKUP(C12,[1]positions!$B$2:$B$31,[1]positions!$D$2:$D$31)</f>
        <v>33.369999999999997</v>
      </c>
    </row>
    <row r="13" spans="1:5" ht="15" customHeight="1" x14ac:dyDescent="0.2">
      <c r="A13" s="3">
        <v>12</v>
      </c>
      <c r="B13" s="4" t="s">
        <v>27</v>
      </c>
      <c r="C13" s="4" t="s">
        <v>28</v>
      </c>
      <c r="D13" s="5">
        <f>LOOKUP(C13,[1]positions!$B$2:$B$31,[1]positions!$C$2:$C$31)</f>
        <v>1135</v>
      </c>
      <c r="E13" s="5">
        <f>LOOKUP(C13,[1]positions!$B$2:$B$31,[1]positions!$D$2:$D$31)</f>
        <v>157.82</v>
      </c>
    </row>
    <row r="14" spans="1:5" ht="15" customHeight="1" x14ac:dyDescent="0.2">
      <c r="A14" s="3">
        <v>13</v>
      </c>
      <c r="B14" s="4" t="s">
        <v>29</v>
      </c>
      <c r="C14" s="4" t="s">
        <v>30</v>
      </c>
      <c r="D14" s="5">
        <f>LOOKUP(C14,[1]positions!$B$2:$B$31,[1]positions!$C$2:$C$31)</f>
        <v>700</v>
      </c>
      <c r="E14" s="5">
        <f>LOOKUP(C14,[1]positions!$B$2:$B$31,[1]positions!$D$2:$D$31)</f>
        <v>70.16</v>
      </c>
    </row>
    <row r="15" spans="1:5" ht="15" customHeight="1" x14ac:dyDescent="0.2">
      <c r="A15" s="3">
        <v>14</v>
      </c>
      <c r="B15" s="4" t="s">
        <v>31</v>
      </c>
      <c r="C15" s="4" t="s">
        <v>32</v>
      </c>
      <c r="D15" s="5">
        <f>LOOKUP(C15,[1]positions!$B$2:$B$31,[1]positions!$C$2:$C$31)</f>
        <v>9635</v>
      </c>
      <c r="E15" s="5">
        <f>LOOKUP(C15,[1]positions!$B$2:$B$31,[1]positions!$D$2:$D$31)</f>
        <v>12.24</v>
      </c>
    </row>
    <row r="16" spans="1:5" ht="15" customHeight="1" x14ac:dyDescent="0.2">
      <c r="A16" s="3">
        <v>15</v>
      </c>
      <c r="B16" s="4" t="s">
        <v>33</v>
      </c>
      <c r="C16" s="4" t="s">
        <v>34</v>
      </c>
      <c r="D16" s="5">
        <f>LOOKUP(C16,[1]positions!$B$2:$B$31,[1]positions!$C$2:$C$31)</f>
        <v>2605</v>
      </c>
      <c r="E16" s="5">
        <f>LOOKUP(C16,[1]positions!$B$2:$B$31,[1]positions!$D$2:$D$31)</f>
        <v>22.23</v>
      </c>
    </row>
    <row r="17" spans="1:5" ht="15" customHeight="1" x14ac:dyDescent="0.2">
      <c r="A17" s="3">
        <v>16</v>
      </c>
      <c r="B17" s="4" t="s">
        <v>35</v>
      </c>
      <c r="C17" s="4" t="s">
        <v>36</v>
      </c>
      <c r="D17" s="5">
        <f>LOOKUP(C17,[1]positions!$B$2:$B$31,[1]positions!$C$2:$C$31)</f>
        <v>7075</v>
      </c>
      <c r="E17" s="5">
        <f>LOOKUP(C17,[1]positions!$B$2:$B$31,[1]positions!$D$2:$D$31)</f>
        <v>32.11</v>
      </c>
    </row>
    <row r="18" spans="1:5" ht="15" customHeight="1" x14ac:dyDescent="0.2">
      <c r="A18" s="3">
        <v>17</v>
      </c>
      <c r="B18" s="4" t="s">
        <v>37</v>
      </c>
      <c r="C18" s="4" t="s">
        <v>38</v>
      </c>
      <c r="D18" s="5">
        <f>LOOKUP(C18,[1]positions!$B$2:$B$31,[1]positions!$C$2:$C$31)</f>
        <v>2406</v>
      </c>
      <c r="E18" s="5">
        <f>LOOKUP(C18,[1]positions!$B$2:$B$31,[1]positions!$D$2:$D$31)</f>
        <v>90.08</v>
      </c>
    </row>
    <row r="19" spans="1:5" ht="15" customHeight="1" x14ac:dyDescent="0.2">
      <c r="A19" s="3">
        <v>18</v>
      </c>
      <c r="B19" s="4" t="s">
        <v>39</v>
      </c>
      <c r="C19" s="4" t="s">
        <v>40</v>
      </c>
      <c r="D19" s="5">
        <f>LOOKUP(C19,[1]positions!$B$2:$B$31,[1]positions!$C$2:$C$31)</f>
        <v>105</v>
      </c>
      <c r="E19" s="5">
        <f>LOOKUP(C19,[1]positions!$B$2:$B$31,[1]positions!$D$2:$D$31)</f>
        <v>222.69</v>
      </c>
    </row>
    <row r="20" spans="1:5" ht="15" customHeight="1" x14ac:dyDescent="0.2">
      <c r="A20" s="3">
        <v>19</v>
      </c>
      <c r="B20" s="4" t="s">
        <v>41</v>
      </c>
      <c r="C20" s="4" t="s">
        <v>42</v>
      </c>
      <c r="D20" s="5">
        <f>LOOKUP(C20,[1]positions!$B$2:$B$31,[1]positions!$C$2:$C$31)</f>
        <v>1221</v>
      </c>
      <c r="E20" s="5">
        <f>LOOKUP(C20,[1]positions!$B$2:$B$31,[1]positions!$D$2:$D$31)</f>
        <v>23.35</v>
      </c>
    </row>
    <row r="21" spans="1:5" ht="15" customHeight="1" x14ac:dyDescent="0.2">
      <c r="A21" s="3">
        <v>20</v>
      </c>
      <c r="B21" s="4" t="s">
        <v>43</v>
      </c>
      <c r="C21" s="4" t="s">
        <v>44</v>
      </c>
      <c r="D21" s="5">
        <f>LOOKUP(C21,[1]positions!$B$2:$B$31,[1]positions!$C$2:$C$31)</f>
        <v>310</v>
      </c>
      <c r="E21" s="5">
        <f>LOOKUP(C21,[1]positions!$B$2:$B$31,[1]positions!$D$2:$D$31)</f>
        <v>76.59</v>
      </c>
    </row>
    <row r="22" spans="1:5" ht="15" customHeight="1" x14ac:dyDescent="0.2">
      <c r="A22" s="3">
        <v>21</v>
      </c>
      <c r="B22" s="4" t="s">
        <v>45</v>
      </c>
      <c r="C22" s="4" t="s">
        <v>46</v>
      </c>
      <c r="D22" s="5">
        <f>LOOKUP(C22,[1]positions!$B$2:$B$31,[1]positions!$C$2:$C$31)</f>
        <v>1505</v>
      </c>
      <c r="E22" s="5">
        <f>LOOKUP(C22,[1]positions!$B$2:$B$31,[1]positions!$D$2:$D$31)</f>
        <v>15.66</v>
      </c>
    </row>
    <row r="23" spans="1:5" ht="15" customHeight="1" x14ac:dyDescent="0.2">
      <c r="A23" s="3">
        <v>22</v>
      </c>
      <c r="B23" s="4" t="s">
        <v>47</v>
      </c>
      <c r="C23" s="4" t="s">
        <v>48</v>
      </c>
      <c r="D23" s="5">
        <f>LOOKUP(C23,[1]positions!$B$2:$B$31,[1]positions!$C$2:$C$31)</f>
        <v>80</v>
      </c>
      <c r="E23" s="5">
        <f>LOOKUP(C23,[1]positions!$B$2:$B$31,[1]positions!$D$2:$D$31)</f>
        <v>279.52999999999997</v>
      </c>
    </row>
    <row r="24" spans="1:5" ht="15" customHeight="1" x14ac:dyDescent="0.2">
      <c r="A24" s="3">
        <v>23</v>
      </c>
      <c r="B24" s="4" t="s">
        <v>49</v>
      </c>
      <c r="C24" s="4" t="s">
        <v>50</v>
      </c>
      <c r="D24" s="5">
        <f>LOOKUP(C24,[1]positions!$B$2:$B$31,[1]positions!$C$2:$C$31)</f>
        <v>4185</v>
      </c>
      <c r="E24" s="5">
        <f>LOOKUP(C24,[1]positions!$B$2:$B$31,[1]positions!$D$2:$D$31)</f>
        <v>12.21</v>
      </c>
    </row>
    <row r="25" spans="1:5" ht="15" customHeight="1" x14ac:dyDescent="0.2">
      <c r="A25" s="3">
        <v>24</v>
      </c>
      <c r="B25" s="4" t="s">
        <v>51</v>
      </c>
      <c r="C25" s="4" t="s">
        <v>52</v>
      </c>
      <c r="D25" s="5">
        <f>LOOKUP(C25,[1]positions!$B$2:$B$31,[1]positions!$C$2:$C$31)</f>
        <v>1070</v>
      </c>
      <c r="E25" s="5">
        <f>LOOKUP(C25,[1]positions!$B$2:$B$31,[1]positions!$D$2:$D$31)</f>
        <v>97.4</v>
      </c>
    </row>
    <row r="26" spans="1:5" ht="15" customHeight="1" x14ac:dyDescent="0.2">
      <c r="A26" s="3">
        <v>25</v>
      </c>
      <c r="B26" s="4" t="s">
        <v>53</v>
      </c>
      <c r="C26" s="4" t="s">
        <v>54</v>
      </c>
      <c r="D26" s="5">
        <f>LOOKUP(C26,[1]positions!$B$2:$B$31,[1]positions!$C$2:$C$31)</f>
        <v>3735</v>
      </c>
      <c r="E26" s="5">
        <f>LOOKUP(C26,[1]positions!$B$2:$B$31,[1]positions!$D$2:$D$31)</f>
        <v>28.51</v>
      </c>
    </row>
    <row r="27" spans="1:5" ht="15" customHeight="1" x14ac:dyDescent="0.2">
      <c r="A27" s="3">
        <v>26</v>
      </c>
      <c r="B27" s="4" t="s">
        <v>55</v>
      </c>
      <c r="C27" s="4" t="s">
        <v>56</v>
      </c>
      <c r="D27" s="5">
        <f>LOOKUP(C27,[1]positions!$B$2:$B$31,[1]positions!$C$2:$C$31)</f>
        <v>290</v>
      </c>
      <c r="E27" s="5">
        <f>LOOKUP(C27,[1]positions!$B$2:$B$31,[1]positions!$D$2:$D$31)</f>
        <v>80.83</v>
      </c>
    </row>
    <row r="28" spans="1:5" ht="15" customHeight="1" x14ac:dyDescent="0.2">
      <c r="A28" s="3">
        <v>27</v>
      </c>
      <c r="B28" s="4" t="s">
        <v>59</v>
      </c>
      <c r="C28" s="4" t="s">
        <v>57</v>
      </c>
      <c r="D28" s="5">
        <f>LOOKUP(C28,[1]positions!$B$2:$B$31,[1]positions!$C$2:$C$31)</f>
        <v>10530</v>
      </c>
      <c r="E28" s="5">
        <f>LOOKUP(C28,[1]positions!$B$2:$B$31,[1]positions!$D$2:$D$31)</f>
        <v>10.38</v>
      </c>
    </row>
    <row r="29" spans="1:5" ht="15" customHeight="1" x14ac:dyDescent="0.2">
      <c r="A29" s="3">
        <v>28</v>
      </c>
      <c r="B29" s="4" t="s">
        <v>60</v>
      </c>
      <c r="C29" s="4" t="s">
        <v>58</v>
      </c>
      <c r="D29" s="5">
        <f>LOOKUP(C29,[1]positions!$B$2:$B$31,[1]positions!$C$2:$C$31)</f>
        <v>1552</v>
      </c>
      <c r="E29" s="5">
        <f>LOOKUP(C29,[1]positions!$B$2:$B$31,[1]positions!$D$2:$D$31)</f>
        <v>27.6</v>
      </c>
    </row>
    <row r="30" spans="1:5" ht="15" customHeight="1" x14ac:dyDescent="0.2">
      <c r="A30" s="3">
        <v>28</v>
      </c>
      <c r="B30" s="4" t="s">
        <v>60</v>
      </c>
      <c r="C30" s="4" t="s">
        <v>62</v>
      </c>
      <c r="D30" s="5">
        <f>LOOKUP(C30,[1]positions!$B$2:$B$31,[1]positions!$C$2:$C$31)</f>
        <v>25</v>
      </c>
      <c r="E30" s="5">
        <f>LOOKUP(C30,[1]positions!$B$2:$B$31,[1]positions!$D$2:$D$31)</f>
        <v>915.24</v>
      </c>
    </row>
    <row r="31" spans="1:5" ht="15" customHeight="1" x14ac:dyDescent="0.2">
      <c r="A31" s="3">
        <v>28</v>
      </c>
      <c r="B31" s="4" t="s">
        <v>60</v>
      </c>
      <c r="C31" s="4" t="s">
        <v>61</v>
      </c>
      <c r="D31" s="5">
        <f>LOOKUP(C31,[1]positions!$B$2:$B$31,[1]positions!$C$2:$C$31)</f>
        <v>2404</v>
      </c>
      <c r="E31" s="5">
        <f>LOOKUP(C31,[1]positions!$B$2:$B$31,[1]positions!$D$2:$D$31)</f>
        <v>61.29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Manthan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Manthan Patel</cp:lastModifiedBy>
  <dcterms:modified xsi:type="dcterms:W3CDTF">2026-03-02T07:46:49Z</dcterms:modified>
</cp:coreProperties>
</file>